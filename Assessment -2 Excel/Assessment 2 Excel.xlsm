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Shree\Desktop\"/>
    </mc:Choice>
  </mc:AlternateContent>
  <bookViews>
    <workbookView xWindow="-120" yWindow="-120" windowWidth="20730" windowHeight="11040"/>
  </bookViews>
  <sheets>
    <sheet name="Final Worksheet" sheetId="6" r:id="rId1"/>
    <sheet name="QUESTION7" sheetId="7" r:id="rId2"/>
    <sheet name="QUESTION3" sheetId="5" r:id="rId3"/>
    <sheet name="QUESTION2" sheetId="4" r:id="rId4"/>
    <sheet name="QUESTION1" sheetId="3" r:id="rId5"/>
  </sheets>
  <definedNames>
    <definedName name="_xlnm._FilterDatabase" localSheetId="0" hidden="1">'Final Worksheet'!$A$1:$H$49</definedName>
    <definedName name="_xlnm._FilterDatabase" localSheetId="3" hidden="1">QUESTION2!$A$1:$B$49</definedName>
    <definedName name="_xlnm._FilterDatabase" localSheetId="1" hidden="1">QUESTION7!$A$1:$A$49</definedName>
  </definedNames>
  <calcPr calcId="191029"/>
  <extLst>
    <ext uri="GoogleSheetsCustomDataVersion2">
      <go:sheetsCustomData xmlns:go="http://customooxmlschemas.google.com/" r:id="rId6" roundtripDataChecksum="2WrwPzVBFsfif2q99uHOlLxATm3svI7SxCkGZSGnM3U="/>
    </ext>
  </extLst>
</workbook>
</file>

<file path=xl/calcChain.xml><?xml version="1.0" encoding="utf-8"?>
<calcChain xmlns="http://schemas.openxmlformats.org/spreadsheetml/2006/main">
  <c r="B46" i="7" l="1"/>
  <c r="B45" i="7"/>
  <c r="B38" i="7"/>
  <c r="B37" i="7"/>
  <c r="B14" i="7"/>
  <c r="B3" i="7"/>
  <c r="B4" i="7"/>
  <c r="B5" i="7"/>
  <c r="B6" i="7"/>
  <c r="B7" i="7"/>
  <c r="B8" i="7"/>
  <c r="B9" i="7"/>
  <c r="B10" i="7"/>
  <c r="B11" i="7"/>
  <c r="B12" i="7"/>
  <c r="B13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9" i="7"/>
  <c r="B40" i="7"/>
  <c r="B41" i="7"/>
  <c r="B42" i="7"/>
  <c r="B43" i="7"/>
  <c r="B44" i="7"/>
  <c r="B47" i="7"/>
  <c r="B48" i="7"/>
  <c r="B49" i="7"/>
  <c r="B2" i="7"/>
  <c r="C2" i="5"/>
  <c r="A46" i="6"/>
  <c r="A43" i="6"/>
  <c r="A36" i="6"/>
  <c r="A32" i="6"/>
  <c r="A29" i="6"/>
  <c r="A15" i="6"/>
  <c r="A11" i="6"/>
  <c r="A6" i="6"/>
  <c r="A20" i="6"/>
  <c r="A2" i="3"/>
  <c r="K3" i="6"/>
  <c r="J3" i="6" s="1"/>
  <c r="K4" i="6"/>
  <c r="J4" i="6" s="1"/>
  <c r="K5" i="6"/>
  <c r="K6" i="6"/>
  <c r="J6" i="6" s="1"/>
  <c r="K7" i="6"/>
  <c r="J7" i="6" s="1"/>
  <c r="K8" i="6"/>
  <c r="J8" i="6" s="1"/>
  <c r="K9" i="6"/>
  <c r="J9" i="6" s="1"/>
  <c r="K10" i="6"/>
  <c r="J10" i="6" s="1"/>
  <c r="K11" i="6"/>
  <c r="J11" i="6" s="1"/>
  <c r="K2" i="6"/>
  <c r="J2" i="6" s="1"/>
  <c r="C44" i="5"/>
  <c r="C30" i="5"/>
  <c r="C24" i="5"/>
  <c r="C19" i="5"/>
  <c r="C15" i="5"/>
  <c r="C3" i="5"/>
  <c r="B2" i="5"/>
  <c r="B3" i="5"/>
  <c r="B4" i="5"/>
  <c r="C4" i="5" s="1"/>
  <c r="B5" i="5"/>
  <c r="C5" i="5" s="1"/>
  <c r="B6" i="5"/>
  <c r="B7" i="5"/>
  <c r="B8" i="5"/>
  <c r="C8" i="5" s="1"/>
  <c r="B9" i="5"/>
  <c r="C9" i="5" s="1"/>
  <c r="B10" i="5"/>
  <c r="C10" i="5" s="1"/>
  <c r="B11" i="5"/>
  <c r="B12" i="5"/>
  <c r="C12" i="5" s="1"/>
  <c r="B13" i="5"/>
  <c r="C13" i="5" s="1"/>
  <c r="B14" i="5"/>
  <c r="B15" i="5"/>
  <c r="B16" i="5"/>
  <c r="C16" i="5" s="1"/>
  <c r="B17" i="5"/>
  <c r="C17" i="5" s="1"/>
  <c r="B18" i="5"/>
  <c r="C18" i="5" s="1"/>
  <c r="B19" i="5"/>
  <c r="B20" i="5"/>
  <c r="C20" i="5" s="1"/>
  <c r="B21" i="5"/>
  <c r="B22" i="5"/>
  <c r="C22" i="5" s="1"/>
  <c r="B23" i="5"/>
  <c r="C23" i="5" s="1"/>
  <c r="B24" i="5"/>
  <c r="B25" i="5"/>
  <c r="B26" i="5"/>
  <c r="C26" i="5" s="1"/>
  <c r="B27" i="5"/>
  <c r="C27" i="5" s="1"/>
  <c r="B28" i="5"/>
  <c r="C28" i="5" s="1"/>
  <c r="B29" i="5"/>
  <c r="B30" i="5"/>
  <c r="B31" i="5"/>
  <c r="B32" i="5"/>
  <c r="C32" i="5" s="1"/>
  <c r="B33" i="5"/>
  <c r="B34" i="5"/>
  <c r="C34" i="5" s="1"/>
  <c r="B35" i="5"/>
  <c r="C35" i="5" s="1"/>
  <c r="B36" i="5"/>
  <c r="B37" i="5"/>
  <c r="C37" i="5" s="1"/>
  <c r="B38" i="5"/>
  <c r="C38" i="5" s="1"/>
  <c r="B39" i="5"/>
  <c r="B40" i="5"/>
  <c r="C40" i="5" s="1"/>
  <c r="B41" i="5"/>
  <c r="B42" i="5"/>
  <c r="C42" i="5" s="1"/>
  <c r="B43" i="5"/>
  <c r="B44" i="5"/>
  <c r="B45" i="5"/>
  <c r="C45" i="5" s="1"/>
  <c r="B46" i="5"/>
  <c r="B47" i="5"/>
  <c r="C47" i="5" s="1"/>
  <c r="B48" i="5"/>
  <c r="C48" i="5" s="1"/>
  <c r="B49" i="5"/>
  <c r="A48" i="5"/>
  <c r="A47" i="5"/>
  <c r="A45" i="5"/>
  <c r="A44" i="5"/>
  <c r="A42" i="5"/>
  <c r="A40" i="5"/>
  <c r="A38" i="5"/>
  <c r="A37" i="5"/>
  <c r="A35" i="5"/>
  <c r="A34" i="5"/>
  <c r="A32" i="5"/>
  <c r="A30" i="5"/>
  <c r="A28" i="5"/>
  <c r="A27" i="5"/>
  <c r="A26" i="5"/>
  <c r="A24" i="5"/>
  <c r="A22" i="5"/>
  <c r="A20" i="5"/>
  <c r="A19" i="5"/>
  <c r="A18" i="5"/>
  <c r="A17" i="5"/>
  <c r="A16" i="5"/>
  <c r="A15" i="5"/>
  <c r="A13" i="5"/>
  <c r="A12" i="5"/>
  <c r="A10" i="5"/>
  <c r="A9" i="5"/>
  <c r="E5" i="4"/>
  <c r="A3" i="3"/>
  <c r="A4" i="3"/>
  <c r="A5" i="3"/>
  <c r="A6" i="3"/>
  <c r="A7" i="3"/>
  <c r="A8" i="3"/>
  <c r="A9" i="3"/>
  <c r="A10" i="3"/>
  <c r="J5" i="6" l="1"/>
</calcChain>
</file>

<file path=xl/sharedStrings.xml><?xml version="1.0" encoding="utf-8"?>
<sst xmlns="http://schemas.openxmlformats.org/spreadsheetml/2006/main" count="386" uniqueCount="169">
  <si>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</si>
  <si>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</si>
  <si>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</si>
  <si>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</si>
  <si>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</si>
  <si>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</si>
  <si>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</si>
  <si>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</si>
  <si>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</si>
  <si>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</si>
  <si>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</si>
  <si>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</si>
  <si>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</si>
  <si>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</si>
  <si>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</si>
  <si>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</si>
  <si>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</si>
  <si>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</si>
  <si>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</si>
  <si>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</si>
  <si>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</si>
  <si>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IT DeVlopemENT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</si>
  <si>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</si>
  <si>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</si>
  <si>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</si>
  <si>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</si>
  <si>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</si>
  <si>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</si>
  <si>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</si>
  <si>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</si>
  <si>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jane.doe@gmail.com</t>
  </si>
  <si>
    <t>Rakesh Kumar</t>
  </si>
  <si>
    <t>DaTa SciENce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</si>
  <si>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</si>
  <si>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</si>
  <si>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</si>
  <si>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</si>
  <si>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</si>
  <si>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</si>
  <si>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</si>
  <si>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</si>
  <si>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</si>
  <si>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</si>
  <si>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</si>
  <si>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</si>
  <si>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</si>
  <si>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</si>
  <si>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</si>
  <si>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</si>
  <si>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</si>
  <si>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</si>
  <si>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</si>
  <si>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Swati Singh</t>
  </si>
  <si>
    <t>HR</t>
  </si>
  <si>
    <t>swati.singh@gmail.com</t>
  </si>
  <si>
    <t>654 12th St, Kolkata, West Bengal, India</t>
  </si>
  <si>
    <t>Finance/Accounts</t>
  </si>
  <si>
    <t>kavita.sharma@yahoo.com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</si>
  <si>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</si>
  <si>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</si>
  <si>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</si>
  <si>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</si>
  <si>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</si>
  <si>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</si>
  <si>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</si>
  <si>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</si>
  <si>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</si>
  <si>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</si>
  <si>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</si>
  <si>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</si>
  <si>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</si>
  <si>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</si>
  <si>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</si>
  <si>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</si>
  <si>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</si>
  <si>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</si>
  <si>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</si>
  <si>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</si>
  <si>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</si>
  <si>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</si>
  <si>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</si>
  <si>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</si>
  <si>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</si>
  <si>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</si>
  <si>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</si>
  <si>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</si>
  <si>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</si>
  <si>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</si>
  <si>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</si>
  <si>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</si>
  <si>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</si>
  <si>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</si>
  <si>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</si>
  <si>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</si>
  <si>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</si>
  <si>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</si>
  <si>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</si>
  <si>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</si>
  <si>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</si>
  <si>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</si>
  <si>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</si>
  <si>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</si>
  <si>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</si>
  <si>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</si>
  <si>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</si>
  <si>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</si>
  <si>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</si>
  <si>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</si>
  <si>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</si>
  <si>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</si>
  <si>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</si>
  <si>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</si>
  <si>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</si>
  <si>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</si>
  <si>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</si>
  <si>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</si>
  <si>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hR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</si>
  <si>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</si>
  <si>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</si>
  <si>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</si>
  <si>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</si>
  <si>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</si>
  <si>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</si>
  <si>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</si>
  <si>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</si>
  <si>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</si>
  <si>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</si>
  <si>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</si>
  <si>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</si>
  <si>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</si>
  <si>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</si>
  <si>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</si>
  <si>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</si>
  <si>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</si>
  <si>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</si>
  <si>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</si>
  <si>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</si>
  <si>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</si>
  <si>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</si>
  <si>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</si>
  <si>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</si>
  <si>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</si>
  <si>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</si>
  <si>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</si>
  <si>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</si>
  <si>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</si>
  <si>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</si>
  <si>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</si>
  <si>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</si>
  <si>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</si>
  <si>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</si>
  <si>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</si>
  <si>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</si>
  <si>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Mean(Age)</t>
  </si>
  <si>
    <t>Formatted Phone</t>
  </si>
  <si>
    <t>Corrected Phone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</si>
  <si>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</si>
  <si>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</si>
  <si>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</si>
  <si>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</si>
  <si>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</si>
  <si>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</si>
  <si>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</si>
  <si>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</si>
  <si>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support@unmessenger.com</t>
  </si>
  <si>
    <t>Address not available</t>
  </si>
  <si>
    <t>Proper Data</t>
  </si>
  <si>
    <t>It Department</t>
  </si>
  <si>
    <t>It Devlopement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</si>
</sst>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 tint="-0.14999847407452621"/>
        <bgColor theme="0" tint="-0.14999847407452621"/>
      </patternFill>
    </fill>
  </fills>
  <borders count="6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">
    <xf numFmtId="0" fontId="0" fillId="0" borderId="0" xfId="0"/>
    <xf numFmtId="0" fontId="2" fillId="2" borderId="1" xfId="0" applyFont="1" applyFill="1" applyBorder="1"/>
    <xf numFmtId="0" fontId="3" fillId="3" borderId="2" xfId="0" applyFont="1" applyFill="1" applyBorder="1"/>
    <xf numFmtId="0" fontId="3" fillId="0" borderId="2" xfId="0" applyFont="1" applyBorder="1"/>
    <xf numFmtId="0" fontId="1" fillId="0" borderId="0" xfId="0" applyFont="1"/>
    <xf numFmtId="0" fontId="2" fillId="2" borderId="3" xfId="0" applyFont="1" applyFill="1" applyBorder="1"/>
    <xf numFmtId="0" fontId="3" fillId="3" borderId="4" xfId="0" applyFont="1" applyFill="1" applyBorder="1"/>
    <xf numFmtId="0" fontId="3" fillId="0" borderId="4" xfId="0" applyFont="1" applyBorder="1"/>
    <xf numFmtId="0" fontId="4" fillId="3" borderId="2" xfId="0" applyFont="1" applyFill="1" applyBorder="1"/>
    <xf numFmtId="0" fontId="4" fillId="0" borderId="2" xfId="0" applyFont="1" applyBorder="1"/>
    <xf numFmtId="0" fontId="2" fillId="2" borderId="5" xfId="0" applyFont="1" applyFill="1" applyBorder="1"/>
    <xf numFmtId="0" fontId="6" fillId="3" borderId="2" xfId="1" applyFill="1" applyBorder="1"/>
  </cellXfs>
  <cellStyles count="2">
    <cellStyle name="Hyperlink" xfId="1" builtinId="8"/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rgb="FFFFFF00"/>
          <bgColor rgb="FFFFFF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>
      <tableStyleElement type="headerRow" dxfId="7"/>
      <tableStyleElement type="firstRowStripe" dxfId="6"/>
      <tableStyleElement type="second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4" name="Table4" displayName="Table4" ref="J1:K11" totalsRowShown="0" headerRowDxfId="4">
  <autoFilter ref="J1:K11"/>
  <tableColumns count="2">
    <tableColumn id="1" name="Name">
      <calculatedColumnFormula>INDEX($A$2:$A$49,MATCH(K2,$H$2:$H$49,0))</calculatedColumnFormula>
    </tableColumn>
    <tableColumn id="2" name="Salary">
      <calculatedColumnFormula>LARGE($H$2:$H$49,ROW(J2)-ROW(J$1))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1:B49" totalsRowShown="0" tableBorderDxfId="3">
  <autoFilter ref="A1:B49"/>
  <tableColumns count="2">
    <tableColumn id="1" name="Department" dataDxfId="2"/>
    <tableColumn id="2" name="Proper Data">
      <calculatedColumnFormula>PROPER(A2)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C49" totalsRowShown="0" tableBorderDxfId="1">
  <autoFilter ref="A1:C49"/>
  <tableColumns count="3">
    <tableColumn id="1" name="Phone" dataDxfId="0"/>
    <tableColumn id="2" name="Formatted Phone">
      <calculatedColumnFormula>RIGHT(A2,10)</calculatedColumnFormula>
    </tableColumn>
    <tableColumn id="3" name="Corrected Phone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support@unmessenger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9"/>
  <sheetViews>
    <sheetView tabSelected="1" topLeftCell="A5" workbookViewId="0">
      <selection activeCell="J18" sqref="J18"/>
    </sheetView>
  </sheetViews>
  <sheetFormatPr defaultRowHeight="15" x14ac:dyDescent="0.25"/>
  <cols>
    <col min="1" max="1" width="14.140625" bestFit="1" customWidth="1"/>
    <col min="2" max="2" width="6.7109375" bestFit="1" customWidth="1"/>
    <col min="3" max="3" width="7.42578125" bestFit="1" customWidth="1"/>
    <col min="4" max="4" width="16.85546875" bestFit="1" customWidth="1"/>
    <col min="5" max="5" width="27.140625" bestFit="1" customWidth="1"/>
    <col min="6" max="6" width="13.85546875" bestFit="1" customWidth="1"/>
    <col min="7" max="7" width="39.5703125" bestFit="1" customWidth="1"/>
    <col min="10" max="10" width="16.7109375" bestFit="1" customWidth="1"/>
  </cols>
  <sheetData>
    <row r="1" spans="1:11" ht="17.2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10" t="s">
        <v>0</v>
      </c>
      <c r="K1" s="10" t="s">
        <v>7</v>
      </c>
    </row>
    <row r="2" spans="1:11" x14ac:dyDescent="0.25">
      <c r="A2" s="2" t="s">
        <v>8</v>
      </c>
      <c r="B2" s="2">
        <v>32</v>
      </c>
      <c r="C2" s="2" t="s">
        <v>9</v>
      </c>
      <c r="D2" s="2" t="s">
        <v>10</v>
      </c>
      <c r="E2" s="2" t="s">
        <v>11</v>
      </c>
      <c r="F2" s="2" t="s">
        <v>12</v>
      </c>
      <c r="G2" s="2" t="s">
        <v>13</v>
      </c>
      <c r="H2" s="8">
        <v>4553</v>
      </c>
      <c r="J2" t="str">
        <f>INDEX($A$2:$A$49,MATCH(K2,$H$2:$H$49,0))</f>
        <v>Neha Gupta</v>
      </c>
      <c r="K2">
        <f>LARGE($H$2:$H$49,ROW(J2)-ROW(J$1))</f>
        <v>49938</v>
      </c>
    </row>
    <row r="3" spans="1:11" x14ac:dyDescent="0.25">
      <c r="A3" s="3" t="s">
        <v>14</v>
      </c>
      <c r="B3" s="3">
        <v>28</v>
      </c>
      <c r="C3" s="3" t="s">
        <v>15</v>
      </c>
      <c r="D3" s="3" t="s">
        <v>167</v>
      </c>
      <c r="E3" s="3" t="s">
        <v>17</v>
      </c>
      <c r="F3" s="3" t="s">
        <v>18</v>
      </c>
      <c r="G3" s="3" t="s">
        <v>19</v>
      </c>
      <c r="H3" s="9">
        <v>31169</v>
      </c>
      <c r="J3" t="str">
        <f t="shared" ref="J3:J11" si="0">INDEX($A$2:$A$49,MATCH(K3,$H$2:$H$49,0))</f>
        <v>Manoj Kumar</v>
      </c>
      <c r="K3">
        <f t="shared" ref="K3:K11" si="1">LARGE($H$2:$H$49,ROW(J3)-ROW(J$1))</f>
        <v>49681</v>
      </c>
    </row>
    <row r="4" spans="1:11" x14ac:dyDescent="0.25">
      <c r="A4" s="2" t="s">
        <v>20</v>
      </c>
      <c r="B4" s="2">
        <v>27</v>
      </c>
      <c r="C4" s="2" t="s">
        <v>9</v>
      </c>
      <c r="D4" s="2" t="s">
        <v>168</v>
      </c>
      <c r="E4" s="2" t="s">
        <v>22</v>
      </c>
      <c r="F4" s="2" t="s">
        <v>23</v>
      </c>
      <c r="G4" s="2" t="s">
        <v>24</v>
      </c>
      <c r="H4" s="8">
        <v>11116</v>
      </c>
      <c r="J4" t="str">
        <f t="shared" si="0"/>
        <v>Kavita Sharma</v>
      </c>
      <c r="K4">
        <f t="shared" si="1"/>
        <v>49400</v>
      </c>
    </row>
    <row r="5" spans="1:11" x14ac:dyDescent="0.25">
      <c r="A5" s="3" t="s">
        <v>25</v>
      </c>
      <c r="B5" s="3">
        <v>33</v>
      </c>
      <c r="C5" s="3" t="s">
        <v>15</v>
      </c>
      <c r="D5" s="3" t="s">
        <v>51</v>
      </c>
      <c r="E5" s="3" t="s">
        <v>27</v>
      </c>
      <c r="F5" s="3" t="s">
        <v>28</v>
      </c>
      <c r="G5" s="3" t="s">
        <v>29</v>
      </c>
      <c r="H5" s="9">
        <v>33457</v>
      </c>
      <c r="J5" t="str">
        <f t="shared" si="0"/>
        <v>Payal Sharma</v>
      </c>
      <c r="K5">
        <f t="shared" si="1"/>
        <v>48367</v>
      </c>
    </row>
    <row r="6" spans="1:11" x14ac:dyDescent="0.25">
      <c r="A6" s="2" t="str">
        <f>PROPER(SUBSTITUTE(LEFT(E6,FIND("@",E6,1)-1),"."," "))</f>
        <v>Jane Doe</v>
      </c>
      <c r="B6" s="2">
        <v>29</v>
      </c>
      <c r="C6" s="2" t="s">
        <v>15</v>
      </c>
      <c r="D6" s="2" t="s">
        <v>51</v>
      </c>
      <c r="E6" s="2" t="s">
        <v>30</v>
      </c>
      <c r="F6" s="2"/>
      <c r="G6" s="2" t="s">
        <v>165</v>
      </c>
      <c r="H6" s="8">
        <v>21918</v>
      </c>
      <c r="J6" t="str">
        <f t="shared" si="0"/>
        <v>Divya Singh</v>
      </c>
      <c r="K6">
        <f t="shared" si="1"/>
        <v>45828</v>
      </c>
    </row>
    <row r="7" spans="1:11" x14ac:dyDescent="0.25">
      <c r="A7" s="3" t="s">
        <v>31</v>
      </c>
      <c r="B7" s="3">
        <v>34</v>
      </c>
      <c r="C7" s="3" t="s">
        <v>9</v>
      </c>
      <c r="D7" s="3" t="s">
        <v>63</v>
      </c>
      <c r="E7" s="3" t="s">
        <v>33</v>
      </c>
      <c r="F7" s="3"/>
      <c r="G7" s="3" t="s">
        <v>34</v>
      </c>
      <c r="H7" s="9">
        <v>33418</v>
      </c>
      <c r="J7" t="str">
        <f t="shared" si="0"/>
        <v>Akash Patel</v>
      </c>
      <c r="K7">
        <f t="shared" si="1"/>
        <v>45678</v>
      </c>
    </row>
    <row r="8" spans="1:11" x14ac:dyDescent="0.25">
      <c r="A8" s="2" t="s">
        <v>35</v>
      </c>
      <c r="B8" s="2">
        <v>25</v>
      </c>
      <c r="C8" s="2" t="s">
        <v>15</v>
      </c>
      <c r="D8" s="2" t="s">
        <v>168</v>
      </c>
      <c r="E8" s="11" t="s">
        <v>164</v>
      </c>
      <c r="F8" s="2" t="s">
        <v>36</v>
      </c>
      <c r="G8" s="2" t="s">
        <v>37</v>
      </c>
      <c r="H8" s="8">
        <v>45828</v>
      </c>
      <c r="J8" t="str">
        <f t="shared" si="0"/>
        <v>Aman Verma</v>
      </c>
      <c r="K8">
        <f t="shared" si="1"/>
        <v>45450</v>
      </c>
    </row>
    <row r="9" spans="1:11" x14ac:dyDescent="0.25">
      <c r="A9" s="3" t="s">
        <v>38</v>
      </c>
      <c r="B9" s="3">
        <v>31</v>
      </c>
      <c r="C9" s="3" t="s">
        <v>9</v>
      </c>
      <c r="D9" s="3" t="s">
        <v>51</v>
      </c>
      <c r="E9" s="3" t="s">
        <v>39</v>
      </c>
      <c r="F9" s="3" t="s">
        <v>156</v>
      </c>
      <c r="G9" s="3" t="s">
        <v>165</v>
      </c>
      <c r="H9" s="9">
        <v>45450</v>
      </c>
      <c r="J9" t="str">
        <f t="shared" si="0"/>
        <v>Neha Gupta</v>
      </c>
      <c r="K9">
        <f t="shared" si="1"/>
        <v>41841</v>
      </c>
    </row>
    <row r="10" spans="1:11" x14ac:dyDescent="0.25">
      <c r="A10" s="2" t="s">
        <v>40</v>
      </c>
      <c r="B10" s="2">
        <v>27</v>
      </c>
      <c r="C10" s="2" t="s">
        <v>15</v>
      </c>
      <c r="D10" s="2" t="s">
        <v>51</v>
      </c>
      <c r="E10" s="2" t="s">
        <v>41</v>
      </c>
      <c r="F10" s="2" t="s">
        <v>157</v>
      </c>
      <c r="G10" s="2" t="s">
        <v>42</v>
      </c>
      <c r="H10" s="8">
        <v>49938</v>
      </c>
      <c r="J10" t="str">
        <f t="shared" si="0"/>
        <v>Vinita Kapoor</v>
      </c>
      <c r="K10">
        <f t="shared" si="1"/>
        <v>41836</v>
      </c>
    </row>
    <row r="11" spans="1:11" x14ac:dyDescent="0.25">
      <c r="A11" s="3" t="str">
        <f>PROPER(SUBSTITUTE(LEFT(E11,FIND("@",E11,1)-1),"."," "))</f>
        <v>Naveen Sharma</v>
      </c>
      <c r="B11" s="3">
        <v>35</v>
      </c>
      <c r="C11" s="3" t="s">
        <v>9</v>
      </c>
      <c r="D11" s="3" t="s">
        <v>10</v>
      </c>
      <c r="E11" s="3" t="s">
        <v>43</v>
      </c>
      <c r="F11" s="3"/>
      <c r="G11" s="3" t="s">
        <v>44</v>
      </c>
      <c r="H11" s="9">
        <v>9818</v>
      </c>
      <c r="J11" t="str">
        <f t="shared" si="0"/>
        <v>Ankit Singh</v>
      </c>
      <c r="K11">
        <f t="shared" si="1"/>
        <v>40940</v>
      </c>
    </row>
    <row r="12" spans="1:11" x14ac:dyDescent="0.25">
      <c r="A12" s="2" t="s">
        <v>45</v>
      </c>
      <c r="B12" s="2">
        <v>29.63636363636364</v>
      </c>
      <c r="C12" s="2" t="s">
        <v>15</v>
      </c>
      <c r="D12" s="2" t="s">
        <v>167</v>
      </c>
      <c r="E12" s="2" t="s">
        <v>46</v>
      </c>
      <c r="F12" s="2" t="s">
        <v>158</v>
      </c>
      <c r="G12" s="2" t="s">
        <v>47</v>
      </c>
      <c r="H12" s="8">
        <v>41836</v>
      </c>
    </row>
    <row r="13" spans="1:11" x14ac:dyDescent="0.25">
      <c r="A13" s="3" t="s">
        <v>48</v>
      </c>
      <c r="B13" s="3">
        <v>29</v>
      </c>
      <c r="C13" s="3" t="s">
        <v>9</v>
      </c>
      <c r="D13" s="3" t="s">
        <v>167</v>
      </c>
      <c r="E13" s="3" t="s">
        <v>49</v>
      </c>
      <c r="F13" s="3" t="s">
        <v>159</v>
      </c>
      <c r="G13" s="3" t="s">
        <v>50</v>
      </c>
      <c r="H13" s="9">
        <v>11901</v>
      </c>
    </row>
    <row r="14" spans="1:11" x14ac:dyDescent="0.25">
      <c r="A14" s="2" t="s">
        <v>52</v>
      </c>
      <c r="B14" s="2">
        <v>28</v>
      </c>
      <c r="C14" s="2" t="s">
        <v>15</v>
      </c>
      <c r="D14" s="2" t="s">
        <v>53</v>
      </c>
      <c r="E14" s="2" t="s">
        <v>54</v>
      </c>
      <c r="F14" s="2"/>
      <c r="G14" s="2" t="s">
        <v>55</v>
      </c>
      <c r="H14" s="8">
        <v>21978</v>
      </c>
    </row>
    <row r="15" spans="1:11" x14ac:dyDescent="0.25">
      <c r="A15" s="3" t="str">
        <f>PROPER(SUBSTITUTE(LEFT(E15,FIND("@",E15,1)-1),"."," "))</f>
        <v>Kavita Sharma</v>
      </c>
      <c r="B15" s="3">
        <v>30</v>
      </c>
      <c r="C15" s="3" t="s">
        <v>15</v>
      </c>
      <c r="D15" s="3" t="s">
        <v>56</v>
      </c>
      <c r="E15" s="3" t="s">
        <v>57</v>
      </c>
      <c r="F15" s="3" t="s">
        <v>156</v>
      </c>
      <c r="G15" s="3" t="s">
        <v>165</v>
      </c>
      <c r="H15" s="9">
        <v>49400</v>
      </c>
    </row>
    <row r="16" spans="1:11" x14ac:dyDescent="0.25">
      <c r="A16" s="2" t="s">
        <v>58</v>
      </c>
      <c r="B16" s="2">
        <v>32</v>
      </c>
      <c r="C16" s="2" t="s">
        <v>9</v>
      </c>
      <c r="D16" s="2" t="s">
        <v>59</v>
      </c>
      <c r="E16" s="2" t="s">
        <v>60</v>
      </c>
      <c r="F16" s="2" t="s">
        <v>160</v>
      </c>
      <c r="G16" s="2" t="s">
        <v>61</v>
      </c>
      <c r="H16" s="8">
        <v>28476</v>
      </c>
    </row>
    <row r="17" spans="1:8" x14ac:dyDescent="0.25">
      <c r="A17" s="3" t="s">
        <v>62</v>
      </c>
      <c r="B17" s="3">
        <v>26</v>
      </c>
      <c r="C17" s="3" t="s">
        <v>15</v>
      </c>
      <c r="D17" s="3" t="s">
        <v>63</v>
      </c>
      <c r="E17" s="3" t="s">
        <v>64</v>
      </c>
      <c r="F17" s="3" t="s">
        <v>161</v>
      </c>
      <c r="G17" s="3" t="s">
        <v>165</v>
      </c>
      <c r="H17" s="9">
        <v>40088</v>
      </c>
    </row>
    <row r="18" spans="1:8" x14ac:dyDescent="0.25">
      <c r="A18" s="2" t="s">
        <v>65</v>
      </c>
      <c r="B18" s="2">
        <v>28</v>
      </c>
      <c r="C18" s="2" t="s">
        <v>9</v>
      </c>
      <c r="D18" s="2" t="s">
        <v>63</v>
      </c>
      <c r="E18" s="2" t="s">
        <v>66</v>
      </c>
      <c r="F18" s="2" t="s">
        <v>162</v>
      </c>
      <c r="G18" s="2" t="s">
        <v>67</v>
      </c>
      <c r="H18" s="8">
        <v>2949</v>
      </c>
    </row>
    <row r="19" spans="1:8" x14ac:dyDescent="0.25">
      <c r="A19" s="3" t="s">
        <v>68</v>
      </c>
      <c r="B19" s="3">
        <v>30</v>
      </c>
      <c r="C19" s="3" t="s">
        <v>15</v>
      </c>
      <c r="D19" s="3" t="s">
        <v>63</v>
      </c>
      <c r="E19" s="3" t="s">
        <v>69</v>
      </c>
      <c r="F19" s="3" t="s">
        <v>159</v>
      </c>
      <c r="G19" s="3" t="s">
        <v>70</v>
      </c>
      <c r="H19" s="9">
        <v>3337</v>
      </c>
    </row>
    <row r="20" spans="1:8" x14ac:dyDescent="0.25">
      <c r="A20" s="2" t="str">
        <f>PROPER(LEFT(E20,FIND("@",E20,1)-1))</f>
        <v>Vikas.Joshi</v>
      </c>
      <c r="B20" s="2">
        <v>32</v>
      </c>
      <c r="C20" s="2" t="s">
        <v>9</v>
      </c>
      <c r="D20" s="2" t="s">
        <v>56</v>
      </c>
      <c r="E20" s="2" t="s">
        <v>71</v>
      </c>
      <c r="F20" s="2" t="s">
        <v>163</v>
      </c>
      <c r="G20" s="2" t="s">
        <v>165</v>
      </c>
      <c r="H20" s="8">
        <v>2857</v>
      </c>
    </row>
    <row r="21" spans="1:8" x14ac:dyDescent="0.25">
      <c r="A21" s="3" t="s">
        <v>72</v>
      </c>
      <c r="B21" s="3">
        <v>26</v>
      </c>
      <c r="C21" s="3" t="s">
        <v>15</v>
      </c>
      <c r="D21" s="3" t="s">
        <v>59</v>
      </c>
      <c r="E21" s="3" t="s">
        <v>73</v>
      </c>
      <c r="F21" s="3"/>
      <c r="G21" s="3" t="s">
        <v>74</v>
      </c>
      <c r="H21" s="9">
        <v>35969</v>
      </c>
    </row>
    <row r="22" spans="1:8" x14ac:dyDescent="0.25">
      <c r="A22" s="2" t="s">
        <v>75</v>
      </c>
      <c r="B22" s="2">
        <v>33</v>
      </c>
      <c r="C22" s="2" t="s">
        <v>9</v>
      </c>
      <c r="D22" s="2" t="s">
        <v>63</v>
      </c>
      <c r="E22" s="2" t="s">
        <v>76</v>
      </c>
      <c r="F22" s="2" t="s">
        <v>156</v>
      </c>
      <c r="G22" s="2" t="s">
        <v>77</v>
      </c>
      <c r="H22" s="8">
        <v>49681</v>
      </c>
    </row>
    <row r="23" spans="1:8" x14ac:dyDescent="0.25">
      <c r="A23" s="3" t="s">
        <v>78</v>
      </c>
      <c r="B23" s="3">
        <v>29</v>
      </c>
      <c r="C23" s="3" t="s">
        <v>9</v>
      </c>
      <c r="D23" s="3" t="s">
        <v>10</v>
      </c>
      <c r="E23" s="3" t="s">
        <v>79</v>
      </c>
      <c r="F23" s="3" t="s">
        <v>80</v>
      </c>
      <c r="G23" s="3" t="s">
        <v>165</v>
      </c>
      <c r="H23" s="9">
        <v>15853</v>
      </c>
    </row>
    <row r="24" spans="1:8" x14ac:dyDescent="0.25">
      <c r="A24" s="2" t="s">
        <v>81</v>
      </c>
      <c r="B24" s="2">
        <v>29.63636363636364</v>
      </c>
      <c r="C24" s="2" t="s">
        <v>15</v>
      </c>
      <c r="D24" s="2" t="s">
        <v>167</v>
      </c>
      <c r="E24" s="2" t="s">
        <v>82</v>
      </c>
      <c r="F24" s="2" t="s">
        <v>159</v>
      </c>
      <c r="G24" s="2" t="s">
        <v>83</v>
      </c>
      <c r="H24" s="8">
        <v>6926</v>
      </c>
    </row>
    <row r="25" spans="1:8" x14ac:dyDescent="0.25">
      <c r="A25" s="3" t="s">
        <v>84</v>
      </c>
      <c r="B25" s="3">
        <v>31</v>
      </c>
      <c r="C25" s="3" t="s">
        <v>9</v>
      </c>
      <c r="D25" s="3" t="s">
        <v>56</v>
      </c>
      <c r="E25" s="3" t="s">
        <v>85</v>
      </c>
      <c r="F25" s="3"/>
      <c r="G25" s="3" t="s">
        <v>86</v>
      </c>
      <c r="H25" s="9">
        <v>45678</v>
      </c>
    </row>
    <row r="26" spans="1:8" x14ac:dyDescent="0.25">
      <c r="A26" s="2" t="s">
        <v>87</v>
      </c>
      <c r="B26" s="2">
        <v>28</v>
      </c>
      <c r="C26" s="2" t="s">
        <v>15</v>
      </c>
      <c r="D26" s="2" t="s">
        <v>59</v>
      </c>
      <c r="E26" s="2" t="s">
        <v>88</v>
      </c>
      <c r="F26" s="2" t="s">
        <v>157</v>
      </c>
      <c r="G26" s="2" t="s">
        <v>89</v>
      </c>
      <c r="H26" s="8">
        <v>8022</v>
      </c>
    </row>
    <row r="27" spans="1:8" x14ac:dyDescent="0.25">
      <c r="A27" s="3" t="s">
        <v>90</v>
      </c>
      <c r="B27" s="3">
        <v>34</v>
      </c>
      <c r="C27" s="3" t="s">
        <v>9</v>
      </c>
      <c r="D27" s="3" t="s">
        <v>63</v>
      </c>
      <c r="E27" s="3" t="s">
        <v>91</v>
      </c>
      <c r="F27" s="3" t="s">
        <v>156</v>
      </c>
      <c r="G27" s="3" t="s">
        <v>92</v>
      </c>
      <c r="H27" s="9">
        <v>3484</v>
      </c>
    </row>
    <row r="28" spans="1:8" x14ac:dyDescent="0.25">
      <c r="A28" s="2" t="s">
        <v>93</v>
      </c>
      <c r="B28" s="2">
        <v>26</v>
      </c>
      <c r="C28" s="2" t="s">
        <v>15</v>
      </c>
      <c r="D28" s="2" t="s">
        <v>168</v>
      </c>
      <c r="E28" s="2" t="s">
        <v>94</v>
      </c>
      <c r="F28" s="2" t="s">
        <v>157</v>
      </c>
      <c r="G28" s="2" t="s">
        <v>95</v>
      </c>
      <c r="H28" s="8">
        <v>11342</v>
      </c>
    </row>
    <row r="29" spans="1:8" x14ac:dyDescent="0.25">
      <c r="A29" s="3" t="str">
        <f>PROPER(SUBSTITUTE(LEFT(E29,FIND("@",E29,1)-1),"."," "))</f>
        <v>Ankit Singh</v>
      </c>
      <c r="B29" s="3">
        <v>29</v>
      </c>
      <c r="C29" s="3" t="s">
        <v>9</v>
      </c>
      <c r="D29" s="3" t="s">
        <v>51</v>
      </c>
      <c r="E29" s="3" t="s">
        <v>96</v>
      </c>
      <c r="F29" s="3"/>
      <c r="G29" s="3" t="s">
        <v>97</v>
      </c>
      <c r="H29" s="9">
        <v>40940</v>
      </c>
    </row>
    <row r="30" spans="1:8" x14ac:dyDescent="0.25">
      <c r="A30" s="2" t="s">
        <v>40</v>
      </c>
      <c r="B30" s="2">
        <v>27</v>
      </c>
      <c r="C30" s="2" t="s">
        <v>15</v>
      </c>
      <c r="D30" s="2" t="s">
        <v>51</v>
      </c>
      <c r="E30" s="2" t="s">
        <v>98</v>
      </c>
      <c r="F30" s="2" t="s">
        <v>159</v>
      </c>
      <c r="G30" s="2" t="s">
        <v>165</v>
      </c>
      <c r="H30" s="8">
        <v>41841</v>
      </c>
    </row>
    <row r="31" spans="1:8" x14ac:dyDescent="0.25">
      <c r="A31" s="3" t="s">
        <v>99</v>
      </c>
      <c r="B31" s="3">
        <v>32</v>
      </c>
      <c r="C31" s="3" t="s">
        <v>9</v>
      </c>
      <c r="D31" s="3" t="s">
        <v>56</v>
      </c>
      <c r="E31" s="3" t="s">
        <v>100</v>
      </c>
      <c r="F31" s="3"/>
      <c r="G31" s="3" t="s">
        <v>101</v>
      </c>
      <c r="H31" s="9">
        <v>39835</v>
      </c>
    </row>
    <row r="32" spans="1:8" x14ac:dyDescent="0.25">
      <c r="A32" s="2" t="str">
        <f>PROPER(SUBSTITUTE(LEFT(E32,FIND("@",E32,1)-1),"."," "))</f>
        <v>Sarika Patel</v>
      </c>
      <c r="B32" s="2">
        <v>33</v>
      </c>
      <c r="C32" s="2" t="s">
        <v>15</v>
      </c>
      <c r="D32" s="2" t="s">
        <v>59</v>
      </c>
      <c r="E32" s="2" t="s">
        <v>102</v>
      </c>
      <c r="F32" s="2" t="s">
        <v>158</v>
      </c>
      <c r="G32" s="2" t="s">
        <v>103</v>
      </c>
      <c r="H32" s="8">
        <v>9577</v>
      </c>
    </row>
    <row r="33" spans="1:8" x14ac:dyDescent="0.25">
      <c r="A33" s="3" t="s">
        <v>104</v>
      </c>
      <c r="B33" s="3">
        <v>30</v>
      </c>
      <c r="C33" s="3" t="s">
        <v>9</v>
      </c>
      <c r="D33" s="3" t="s">
        <v>63</v>
      </c>
      <c r="E33" s="3" t="s">
        <v>105</v>
      </c>
      <c r="F33" s="3"/>
      <c r="G33" s="3" t="s">
        <v>106</v>
      </c>
      <c r="H33" s="9">
        <v>29480</v>
      </c>
    </row>
    <row r="34" spans="1:8" x14ac:dyDescent="0.25">
      <c r="A34" s="2" t="s">
        <v>107</v>
      </c>
      <c r="B34" s="2">
        <v>29.63636363636364</v>
      </c>
      <c r="C34" s="2" t="s">
        <v>15</v>
      </c>
      <c r="D34" s="2" t="s">
        <v>168</v>
      </c>
      <c r="E34" s="2" t="s">
        <v>108</v>
      </c>
      <c r="F34" s="2" t="s">
        <v>159</v>
      </c>
      <c r="G34" s="2" t="s">
        <v>109</v>
      </c>
      <c r="H34" s="8">
        <v>14254</v>
      </c>
    </row>
    <row r="35" spans="1:8" x14ac:dyDescent="0.25">
      <c r="A35" s="3" t="s">
        <v>110</v>
      </c>
      <c r="B35" s="3">
        <v>29</v>
      </c>
      <c r="C35" s="3" t="s">
        <v>9</v>
      </c>
      <c r="D35" s="3" t="s">
        <v>51</v>
      </c>
      <c r="E35" s="3" t="s">
        <v>111</v>
      </c>
      <c r="F35" s="3" t="s">
        <v>157</v>
      </c>
      <c r="G35" s="3" t="s">
        <v>112</v>
      </c>
      <c r="H35" s="9">
        <v>37358</v>
      </c>
    </row>
    <row r="36" spans="1:8" x14ac:dyDescent="0.25">
      <c r="A36" s="2" t="str">
        <f>PROPER(SUBSTITUTE(LEFT(E36,FIND("@",E36,1)-1),"."," "))</f>
        <v>Payal Sharma</v>
      </c>
      <c r="B36" s="2">
        <v>31</v>
      </c>
      <c r="C36" s="2" t="s">
        <v>15</v>
      </c>
      <c r="D36" s="2" t="s">
        <v>51</v>
      </c>
      <c r="E36" s="2" t="s">
        <v>113</v>
      </c>
      <c r="F36" s="2"/>
      <c r="G36" s="2" t="s">
        <v>114</v>
      </c>
      <c r="H36" s="8">
        <v>48367</v>
      </c>
    </row>
    <row r="37" spans="1:8" x14ac:dyDescent="0.25">
      <c r="A37" s="3" t="s">
        <v>115</v>
      </c>
      <c r="B37" s="3">
        <v>28</v>
      </c>
      <c r="C37" s="3" t="s">
        <v>9</v>
      </c>
      <c r="D37" s="3" t="s">
        <v>53</v>
      </c>
      <c r="E37" s="3" t="s">
        <v>117</v>
      </c>
      <c r="F37" s="3" t="s">
        <v>156</v>
      </c>
      <c r="G37" s="3" t="s">
        <v>118</v>
      </c>
      <c r="H37" s="9">
        <v>37473</v>
      </c>
    </row>
    <row r="38" spans="1:8" x14ac:dyDescent="0.25">
      <c r="A38" s="2" t="s">
        <v>119</v>
      </c>
      <c r="B38" s="2">
        <v>33</v>
      </c>
      <c r="C38" s="2" t="s">
        <v>15</v>
      </c>
      <c r="D38" s="2" t="s">
        <v>53</v>
      </c>
      <c r="E38" s="2" t="s">
        <v>121</v>
      </c>
      <c r="F38" s="2" t="s">
        <v>163</v>
      </c>
      <c r="G38" s="2" t="s">
        <v>122</v>
      </c>
      <c r="H38" s="8">
        <v>30628</v>
      </c>
    </row>
    <row r="39" spans="1:8" x14ac:dyDescent="0.25">
      <c r="A39" s="3" t="s">
        <v>123</v>
      </c>
      <c r="B39" s="3">
        <v>30</v>
      </c>
      <c r="C39" s="3" t="s">
        <v>9</v>
      </c>
      <c r="D39" s="3" t="s">
        <v>10</v>
      </c>
      <c r="E39" s="3" t="s">
        <v>124</v>
      </c>
      <c r="F39" s="3"/>
      <c r="G39" s="3" t="s">
        <v>125</v>
      </c>
      <c r="H39" s="9">
        <v>22018</v>
      </c>
    </row>
    <row r="40" spans="1:8" x14ac:dyDescent="0.25">
      <c r="A40" s="2" t="s">
        <v>126</v>
      </c>
      <c r="B40" s="2">
        <v>27</v>
      </c>
      <c r="C40" s="2" t="s">
        <v>15</v>
      </c>
      <c r="D40" s="2" t="s">
        <v>63</v>
      </c>
      <c r="E40" s="2" t="s">
        <v>127</v>
      </c>
      <c r="F40" s="2" t="s">
        <v>157</v>
      </c>
      <c r="G40" s="2" t="s">
        <v>128</v>
      </c>
      <c r="H40" s="8">
        <v>35747</v>
      </c>
    </row>
    <row r="41" spans="1:8" x14ac:dyDescent="0.25">
      <c r="A41" s="3" t="s">
        <v>129</v>
      </c>
      <c r="B41" s="3">
        <v>29</v>
      </c>
      <c r="C41" s="3" t="s">
        <v>9</v>
      </c>
      <c r="D41" s="3" t="s">
        <v>51</v>
      </c>
      <c r="E41" s="3" t="s">
        <v>130</v>
      </c>
      <c r="F41" s="3"/>
      <c r="G41" s="3" t="s">
        <v>131</v>
      </c>
      <c r="H41" s="9">
        <v>32258</v>
      </c>
    </row>
    <row r="42" spans="1:8" x14ac:dyDescent="0.25">
      <c r="A42" s="2" t="s">
        <v>132</v>
      </c>
      <c r="B42" s="2">
        <v>26</v>
      </c>
      <c r="C42" s="2" t="s">
        <v>15</v>
      </c>
      <c r="D42" s="2" t="s">
        <v>56</v>
      </c>
      <c r="E42" s="2" t="s">
        <v>133</v>
      </c>
      <c r="F42" s="2" t="s">
        <v>159</v>
      </c>
      <c r="G42" s="2" t="s">
        <v>134</v>
      </c>
      <c r="H42" s="8">
        <v>31047</v>
      </c>
    </row>
    <row r="43" spans="1:8" x14ac:dyDescent="0.25">
      <c r="A43" s="3" t="str">
        <f>PROPER(SUBSTITUTE(LEFT(E43,FIND("@",E43,1)-1),"."," "))</f>
        <v>Mukesh Sharma</v>
      </c>
      <c r="B43" s="3">
        <v>28</v>
      </c>
      <c r="C43" s="3" t="s">
        <v>9</v>
      </c>
      <c r="D43" s="3" t="s">
        <v>59</v>
      </c>
      <c r="E43" s="3" t="s">
        <v>135</v>
      </c>
      <c r="F43" s="3"/>
      <c r="G43" s="3" t="s">
        <v>136</v>
      </c>
      <c r="H43" s="9">
        <v>31064</v>
      </c>
    </row>
    <row r="44" spans="1:8" x14ac:dyDescent="0.25">
      <c r="A44" s="2" t="s">
        <v>137</v>
      </c>
      <c r="B44" s="2">
        <v>31</v>
      </c>
      <c r="C44" s="2" t="s">
        <v>9</v>
      </c>
      <c r="D44" s="2" t="s">
        <v>63</v>
      </c>
      <c r="E44" s="2" t="s">
        <v>138</v>
      </c>
      <c r="F44" s="2" t="s">
        <v>156</v>
      </c>
      <c r="G44" s="2" t="s">
        <v>165</v>
      </c>
      <c r="H44" s="8">
        <v>3108</v>
      </c>
    </row>
    <row r="45" spans="1:8" x14ac:dyDescent="0.25">
      <c r="A45" s="3" t="s">
        <v>139</v>
      </c>
      <c r="B45" s="3">
        <v>27</v>
      </c>
      <c r="C45" s="3" t="s">
        <v>15</v>
      </c>
      <c r="D45" s="3" t="s">
        <v>53</v>
      </c>
      <c r="E45" s="3" t="s">
        <v>140</v>
      </c>
      <c r="F45" s="3" t="s">
        <v>157</v>
      </c>
      <c r="G45" s="3" t="s">
        <v>141</v>
      </c>
      <c r="H45" s="9">
        <v>20205</v>
      </c>
    </row>
    <row r="46" spans="1:8" x14ac:dyDescent="0.25">
      <c r="A46" s="2" t="str">
        <f>PROPER(SUBSTITUTE(LEFT(E46,FIND("@",E46,1)-1),"."," "))</f>
        <v>Gaurav Kumar</v>
      </c>
      <c r="B46" s="2">
        <v>29</v>
      </c>
      <c r="C46" s="2" t="s">
        <v>9</v>
      </c>
      <c r="D46" s="2" t="s">
        <v>53</v>
      </c>
      <c r="E46" s="2" t="s">
        <v>142</v>
      </c>
      <c r="F46" s="2"/>
      <c r="G46" s="2" t="s">
        <v>143</v>
      </c>
      <c r="H46" s="8">
        <v>8746</v>
      </c>
    </row>
    <row r="47" spans="1:8" x14ac:dyDescent="0.25">
      <c r="A47" s="3" t="s">
        <v>144</v>
      </c>
      <c r="B47" s="3">
        <v>32</v>
      </c>
      <c r="C47" s="3" t="s">
        <v>15</v>
      </c>
      <c r="D47" s="3" t="s">
        <v>168</v>
      </c>
      <c r="E47" s="3" t="s">
        <v>145</v>
      </c>
      <c r="F47" s="3" t="s">
        <v>158</v>
      </c>
      <c r="G47" s="3" t="s">
        <v>146</v>
      </c>
      <c r="H47" s="9">
        <v>15531</v>
      </c>
    </row>
    <row r="48" spans="1:8" x14ac:dyDescent="0.25">
      <c r="A48" s="2" t="s">
        <v>147</v>
      </c>
      <c r="B48" s="2">
        <v>29.63636363636364</v>
      </c>
      <c r="C48" s="2" t="s">
        <v>9</v>
      </c>
      <c r="D48" s="2" t="s">
        <v>51</v>
      </c>
      <c r="E48" s="2" t="s">
        <v>148</v>
      </c>
      <c r="F48" s="2" t="s">
        <v>159</v>
      </c>
      <c r="G48" s="2" t="s">
        <v>149</v>
      </c>
      <c r="H48" s="8">
        <v>23055</v>
      </c>
    </row>
    <row r="49" spans="1:8" x14ac:dyDescent="0.25">
      <c r="A49" s="3" t="s">
        <v>150</v>
      </c>
      <c r="B49" s="3">
        <v>30</v>
      </c>
      <c r="C49" s="3" t="s">
        <v>15</v>
      </c>
      <c r="D49" s="3" t="s">
        <v>51</v>
      </c>
      <c r="E49" s="3" t="s">
        <v>151</v>
      </c>
      <c r="F49" s="3"/>
      <c r="G49" s="3" t="s">
        <v>152</v>
      </c>
      <c r="H49" s="9">
        <v>18647</v>
      </c>
    </row>
  </sheetData>
  <autoFilter ref="A1:H49"/>
  <hyperlinks>
    <hyperlink ref="E8" r:id="rId1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9"/>
  <sheetViews>
    <sheetView topLeftCell="A27" workbookViewId="0">
      <selection activeCell="B2" sqref="B2:B49"/>
    </sheetView>
  </sheetViews>
  <sheetFormatPr defaultRowHeight="15" x14ac:dyDescent="0.25"/>
  <cols>
    <col min="1" max="2" width="16.85546875" bestFit="1" customWidth="1"/>
  </cols>
  <sheetData>
    <row r="1" spans="1:2" ht="17.25" thickBot="1" x14ac:dyDescent="0.35">
      <c r="A1" s="5" t="s">
        <v>3</v>
      </c>
      <c r="B1" s="4" t="s">
        <v>166</v>
      </c>
    </row>
    <row r="2" spans="1:2" x14ac:dyDescent="0.25">
      <c r="A2" s="6" t="s">
        <v>10</v>
      </c>
      <c r="B2" t="str">
        <f>PROPER(A2)</f>
        <v>Operations</v>
      </c>
    </row>
    <row r="3" spans="1:2" x14ac:dyDescent="0.25">
      <c r="A3" s="7" t="s">
        <v>16</v>
      </c>
      <c r="B3" t="str">
        <f t="shared" ref="B3:B49" si="0">PROPER(A3)</f>
        <v>It Department</v>
      </c>
    </row>
    <row r="4" spans="1:2" x14ac:dyDescent="0.25">
      <c r="A4" s="6" t="s">
        <v>21</v>
      </c>
      <c r="B4" t="str">
        <f t="shared" si="0"/>
        <v>It Devlopement</v>
      </c>
    </row>
    <row r="5" spans="1:2" x14ac:dyDescent="0.25">
      <c r="A5" s="7" t="s">
        <v>26</v>
      </c>
      <c r="B5" t="str">
        <f t="shared" si="0"/>
        <v>Sales</v>
      </c>
    </row>
    <row r="6" spans="1:2" x14ac:dyDescent="0.25">
      <c r="A6" s="6" t="s">
        <v>51</v>
      </c>
      <c r="B6" t="str">
        <f t="shared" si="0"/>
        <v>Sales</v>
      </c>
    </row>
    <row r="7" spans="1:2" x14ac:dyDescent="0.25">
      <c r="A7" s="7" t="s">
        <v>32</v>
      </c>
      <c r="B7" t="str">
        <f t="shared" si="0"/>
        <v>Data Science</v>
      </c>
    </row>
    <row r="8" spans="1:2" x14ac:dyDescent="0.25">
      <c r="A8" s="6" t="s">
        <v>21</v>
      </c>
      <c r="B8" t="str">
        <f t="shared" si="0"/>
        <v>It Devlopement</v>
      </c>
    </row>
    <row r="9" spans="1:2" x14ac:dyDescent="0.25">
      <c r="A9" s="7" t="s">
        <v>26</v>
      </c>
      <c r="B9" t="str">
        <f t="shared" si="0"/>
        <v>Sales</v>
      </c>
    </row>
    <row r="10" spans="1:2" x14ac:dyDescent="0.25">
      <c r="A10" s="6" t="s">
        <v>51</v>
      </c>
      <c r="B10" t="str">
        <f t="shared" si="0"/>
        <v>Sales</v>
      </c>
    </row>
    <row r="11" spans="1:2" x14ac:dyDescent="0.25">
      <c r="A11" s="7" t="s">
        <v>10</v>
      </c>
      <c r="B11" t="str">
        <f t="shared" si="0"/>
        <v>Operations</v>
      </c>
    </row>
    <row r="12" spans="1:2" x14ac:dyDescent="0.25">
      <c r="A12" s="6" t="s">
        <v>16</v>
      </c>
      <c r="B12" t="str">
        <f t="shared" si="0"/>
        <v>It Department</v>
      </c>
    </row>
    <row r="13" spans="1:2" x14ac:dyDescent="0.25">
      <c r="A13" s="7" t="s">
        <v>16</v>
      </c>
      <c r="B13" t="str">
        <f t="shared" si="0"/>
        <v>It Department</v>
      </c>
    </row>
    <row r="14" spans="1:2" x14ac:dyDescent="0.25">
      <c r="A14" s="6" t="s">
        <v>53</v>
      </c>
      <c r="B14" t="str">
        <f>UPPER(PROPER(A14))</f>
        <v>HR</v>
      </c>
    </row>
    <row r="15" spans="1:2" x14ac:dyDescent="0.25">
      <c r="A15" s="7" t="s">
        <v>56</v>
      </c>
      <c r="B15" t="str">
        <f t="shared" si="0"/>
        <v>Finance/Accounts</v>
      </c>
    </row>
    <row r="16" spans="1:2" x14ac:dyDescent="0.25">
      <c r="A16" s="6" t="s">
        <v>59</v>
      </c>
      <c r="B16" t="str">
        <f t="shared" si="0"/>
        <v>Mangement</v>
      </c>
    </row>
    <row r="17" spans="1:2" x14ac:dyDescent="0.25">
      <c r="A17" s="7" t="s">
        <v>63</v>
      </c>
      <c r="B17" t="str">
        <f t="shared" si="0"/>
        <v>Data Science</v>
      </c>
    </row>
    <row r="18" spans="1:2" x14ac:dyDescent="0.25">
      <c r="A18" s="6" t="s">
        <v>32</v>
      </c>
      <c r="B18" t="str">
        <f t="shared" si="0"/>
        <v>Data Science</v>
      </c>
    </row>
    <row r="19" spans="1:2" x14ac:dyDescent="0.25">
      <c r="A19" s="7" t="s">
        <v>32</v>
      </c>
      <c r="B19" t="str">
        <f t="shared" si="0"/>
        <v>Data Science</v>
      </c>
    </row>
    <row r="20" spans="1:2" x14ac:dyDescent="0.25">
      <c r="A20" s="6" t="s">
        <v>56</v>
      </c>
      <c r="B20" t="str">
        <f t="shared" si="0"/>
        <v>Finance/Accounts</v>
      </c>
    </row>
    <row r="21" spans="1:2" x14ac:dyDescent="0.25">
      <c r="A21" s="7" t="s">
        <v>59</v>
      </c>
      <c r="B21" t="str">
        <f t="shared" si="0"/>
        <v>Mangement</v>
      </c>
    </row>
    <row r="22" spans="1:2" x14ac:dyDescent="0.25">
      <c r="A22" s="6" t="s">
        <v>63</v>
      </c>
      <c r="B22" t="str">
        <f t="shared" si="0"/>
        <v>Data Science</v>
      </c>
    </row>
    <row r="23" spans="1:2" x14ac:dyDescent="0.25">
      <c r="A23" s="7" t="s">
        <v>10</v>
      </c>
      <c r="B23" t="str">
        <f t="shared" si="0"/>
        <v>Operations</v>
      </c>
    </row>
    <row r="24" spans="1:2" x14ac:dyDescent="0.25">
      <c r="A24" s="6" t="s">
        <v>16</v>
      </c>
      <c r="B24" t="str">
        <f t="shared" si="0"/>
        <v>It Department</v>
      </c>
    </row>
    <row r="25" spans="1:2" x14ac:dyDescent="0.25">
      <c r="A25" s="7" t="s">
        <v>56</v>
      </c>
      <c r="B25" t="str">
        <f t="shared" si="0"/>
        <v>Finance/Accounts</v>
      </c>
    </row>
    <row r="26" spans="1:2" x14ac:dyDescent="0.25">
      <c r="A26" s="6" t="s">
        <v>59</v>
      </c>
      <c r="B26" t="str">
        <f t="shared" si="0"/>
        <v>Mangement</v>
      </c>
    </row>
    <row r="27" spans="1:2" x14ac:dyDescent="0.25">
      <c r="A27" s="7" t="s">
        <v>63</v>
      </c>
      <c r="B27" t="str">
        <f t="shared" si="0"/>
        <v>Data Science</v>
      </c>
    </row>
    <row r="28" spans="1:2" x14ac:dyDescent="0.25">
      <c r="A28" s="6" t="s">
        <v>21</v>
      </c>
      <c r="B28" t="str">
        <f t="shared" si="0"/>
        <v>It Devlopement</v>
      </c>
    </row>
    <row r="29" spans="1:2" x14ac:dyDescent="0.25">
      <c r="A29" s="7" t="s">
        <v>26</v>
      </c>
      <c r="B29" t="str">
        <f t="shared" si="0"/>
        <v>Sales</v>
      </c>
    </row>
    <row r="30" spans="1:2" x14ac:dyDescent="0.25">
      <c r="A30" s="6" t="s">
        <v>51</v>
      </c>
      <c r="B30" t="str">
        <f t="shared" si="0"/>
        <v>Sales</v>
      </c>
    </row>
    <row r="31" spans="1:2" x14ac:dyDescent="0.25">
      <c r="A31" s="7" t="s">
        <v>56</v>
      </c>
      <c r="B31" t="str">
        <f t="shared" si="0"/>
        <v>Finance/Accounts</v>
      </c>
    </row>
    <row r="32" spans="1:2" x14ac:dyDescent="0.25">
      <c r="A32" s="6" t="s">
        <v>59</v>
      </c>
      <c r="B32" t="str">
        <f t="shared" si="0"/>
        <v>Mangement</v>
      </c>
    </row>
    <row r="33" spans="1:2" x14ac:dyDescent="0.25">
      <c r="A33" s="7" t="s">
        <v>63</v>
      </c>
      <c r="B33" t="str">
        <f t="shared" si="0"/>
        <v>Data Science</v>
      </c>
    </row>
    <row r="34" spans="1:2" x14ac:dyDescent="0.25">
      <c r="A34" s="6" t="s">
        <v>21</v>
      </c>
      <c r="B34" t="str">
        <f t="shared" si="0"/>
        <v>It Devlopement</v>
      </c>
    </row>
    <row r="35" spans="1:2" x14ac:dyDescent="0.25">
      <c r="A35" s="7" t="s">
        <v>26</v>
      </c>
      <c r="B35" t="str">
        <f t="shared" si="0"/>
        <v>Sales</v>
      </c>
    </row>
    <row r="36" spans="1:2" x14ac:dyDescent="0.25">
      <c r="A36" s="6" t="s">
        <v>51</v>
      </c>
      <c r="B36" t="str">
        <f t="shared" si="0"/>
        <v>Sales</v>
      </c>
    </row>
    <row r="37" spans="1:2" x14ac:dyDescent="0.25">
      <c r="A37" s="7" t="s">
        <v>116</v>
      </c>
      <c r="B37" t="str">
        <f>UPPER(PROPER(A37))</f>
        <v>HR</v>
      </c>
    </row>
    <row r="38" spans="1:2" x14ac:dyDescent="0.25">
      <c r="A38" s="6" t="s">
        <v>120</v>
      </c>
      <c r="B38" t="str">
        <f>UPPER(PROPER(A38))</f>
        <v>HR</v>
      </c>
    </row>
    <row r="39" spans="1:2" x14ac:dyDescent="0.25">
      <c r="A39" s="7" t="s">
        <v>10</v>
      </c>
      <c r="B39" t="str">
        <f t="shared" si="0"/>
        <v>Operations</v>
      </c>
    </row>
    <row r="40" spans="1:2" x14ac:dyDescent="0.25">
      <c r="A40" s="6" t="s">
        <v>32</v>
      </c>
      <c r="B40" t="str">
        <f t="shared" si="0"/>
        <v>Data Science</v>
      </c>
    </row>
    <row r="41" spans="1:2" x14ac:dyDescent="0.25">
      <c r="A41" s="7" t="s">
        <v>51</v>
      </c>
      <c r="B41" t="str">
        <f t="shared" si="0"/>
        <v>Sales</v>
      </c>
    </row>
    <row r="42" spans="1:2" x14ac:dyDescent="0.25">
      <c r="A42" s="6" t="s">
        <v>56</v>
      </c>
      <c r="B42" t="str">
        <f t="shared" si="0"/>
        <v>Finance/Accounts</v>
      </c>
    </row>
    <row r="43" spans="1:2" x14ac:dyDescent="0.25">
      <c r="A43" s="7" t="s">
        <v>59</v>
      </c>
      <c r="B43" t="str">
        <f t="shared" si="0"/>
        <v>Mangement</v>
      </c>
    </row>
    <row r="44" spans="1:2" x14ac:dyDescent="0.25">
      <c r="A44" s="6" t="s">
        <v>63</v>
      </c>
      <c r="B44" t="str">
        <f t="shared" si="0"/>
        <v>Data Science</v>
      </c>
    </row>
    <row r="45" spans="1:2" x14ac:dyDescent="0.25">
      <c r="A45" s="7" t="s">
        <v>116</v>
      </c>
      <c r="B45" t="str">
        <f>UPPER(PROPER(A45))</f>
        <v>HR</v>
      </c>
    </row>
    <row r="46" spans="1:2" x14ac:dyDescent="0.25">
      <c r="A46" s="6" t="s">
        <v>120</v>
      </c>
      <c r="B46" t="str">
        <f>UPPER(PROPER(A46))</f>
        <v>HR</v>
      </c>
    </row>
    <row r="47" spans="1:2" x14ac:dyDescent="0.25">
      <c r="A47" s="7" t="s">
        <v>21</v>
      </c>
      <c r="B47" t="str">
        <f t="shared" si="0"/>
        <v>It Devlopement</v>
      </c>
    </row>
    <row r="48" spans="1:2" x14ac:dyDescent="0.25">
      <c r="A48" s="6" t="s">
        <v>26</v>
      </c>
      <c r="B48" t="str">
        <f t="shared" si="0"/>
        <v>Sales</v>
      </c>
    </row>
    <row r="49" spans="1:2" x14ac:dyDescent="0.25">
      <c r="A49" s="7" t="s">
        <v>26</v>
      </c>
      <c r="B49" t="str">
        <f t="shared" si="0"/>
        <v>Sales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9"/>
  <sheetViews>
    <sheetView workbookViewId="0">
      <selection activeCell="C2" sqref="C2:C49"/>
    </sheetView>
  </sheetViews>
  <sheetFormatPr defaultRowHeight="15" x14ac:dyDescent="0.25"/>
  <cols>
    <col min="1" max="1" width="13.85546875" bestFit="1" customWidth="1"/>
    <col min="2" max="2" width="18.5703125" customWidth="1"/>
    <col min="3" max="3" width="18.28515625" bestFit="1" customWidth="1"/>
  </cols>
  <sheetData>
    <row r="1" spans="1:3" ht="17.25" thickBot="1" x14ac:dyDescent="0.35">
      <c r="A1" s="5" t="s">
        <v>5</v>
      </c>
      <c r="B1" s="4" t="s">
        <v>154</v>
      </c>
      <c r="C1" s="4" t="s">
        <v>155</v>
      </c>
    </row>
    <row r="2" spans="1:3" x14ac:dyDescent="0.25">
      <c r="A2" s="6" t="s">
        <v>12</v>
      </c>
      <c r="B2" t="str">
        <f>RIGHT(A2,10)</f>
        <v>1234567890</v>
      </c>
      <c r="C2" t="str">
        <f>"91-"&amp;B2</f>
        <v>91-1234567890</v>
      </c>
    </row>
    <row r="3" spans="1:3" x14ac:dyDescent="0.25">
      <c r="A3" s="7" t="s">
        <v>18</v>
      </c>
      <c r="B3" t="str">
        <f t="shared" ref="B3:B49" si="0">RIGHT(A3,10)</f>
        <v>9876543210</v>
      </c>
      <c r="C3" t="str">
        <f t="shared" ref="C3:C5" si="1">"91-"&amp;B3</f>
        <v>91-9876543210</v>
      </c>
    </row>
    <row r="4" spans="1:3" x14ac:dyDescent="0.25">
      <c r="A4" s="6" t="s">
        <v>23</v>
      </c>
      <c r="B4" t="str">
        <f t="shared" si="0"/>
        <v>8765432109</v>
      </c>
      <c r="C4" t="str">
        <f t="shared" si="1"/>
        <v>91-8765432109</v>
      </c>
    </row>
    <row r="5" spans="1:3" x14ac:dyDescent="0.25">
      <c r="A5" s="7" t="s">
        <v>28</v>
      </c>
      <c r="B5" t="str">
        <f t="shared" si="0"/>
        <v>5555555555</v>
      </c>
      <c r="C5" t="str">
        <f t="shared" si="1"/>
        <v>91-5555555555</v>
      </c>
    </row>
    <row r="6" spans="1:3" x14ac:dyDescent="0.25">
      <c r="A6" s="6"/>
      <c r="B6" t="str">
        <f t="shared" si="0"/>
        <v/>
      </c>
    </row>
    <row r="7" spans="1:3" x14ac:dyDescent="0.25">
      <c r="A7" s="7"/>
      <c r="B7" t="str">
        <f t="shared" si="0"/>
        <v/>
      </c>
    </row>
    <row r="8" spans="1:3" x14ac:dyDescent="0.25">
      <c r="A8" s="6" t="s">
        <v>36</v>
      </c>
      <c r="B8" t="str">
        <f t="shared" si="0"/>
        <v>9999999999</v>
      </c>
      <c r="C8" t="str">
        <f t="shared" ref="C8:C10" si="2">"91-"&amp;B8</f>
        <v>91-9999999999</v>
      </c>
    </row>
    <row r="9" spans="1:3" x14ac:dyDescent="0.25">
      <c r="A9" s="7">
        <f>91-8888888888</f>
        <v>-8888888797</v>
      </c>
      <c r="B9" t="str">
        <f t="shared" si="0"/>
        <v>8888888797</v>
      </c>
      <c r="C9" t="str">
        <f t="shared" si="2"/>
        <v>91-8888888797</v>
      </c>
    </row>
    <row r="10" spans="1:3" x14ac:dyDescent="0.25">
      <c r="A10" s="6">
        <f>91-7777777777</f>
        <v>-7777777686</v>
      </c>
      <c r="B10" t="str">
        <f t="shared" si="0"/>
        <v>7777777686</v>
      </c>
      <c r="C10" t="str">
        <f t="shared" si="2"/>
        <v>91-7777777686</v>
      </c>
    </row>
    <row r="11" spans="1:3" x14ac:dyDescent="0.25">
      <c r="A11" s="7"/>
      <c r="B11" t="str">
        <f t="shared" si="0"/>
        <v/>
      </c>
    </row>
    <row r="12" spans="1:3" x14ac:dyDescent="0.25">
      <c r="A12" s="6">
        <f>91-6666666666</f>
        <v>-6666666575</v>
      </c>
      <c r="B12" t="str">
        <f t="shared" si="0"/>
        <v>6666666575</v>
      </c>
      <c r="C12" t="str">
        <f t="shared" ref="C12:C13" si="3">"91-"&amp;B12</f>
        <v>91-6666666575</v>
      </c>
    </row>
    <row r="13" spans="1:3" x14ac:dyDescent="0.25">
      <c r="A13" s="7">
        <f>91-5555555555</f>
        <v>-5555555464</v>
      </c>
      <c r="B13" t="str">
        <f t="shared" si="0"/>
        <v>5555555464</v>
      </c>
      <c r="C13" t="str">
        <f t="shared" si="3"/>
        <v>91-5555555464</v>
      </c>
    </row>
    <row r="14" spans="1:3" x14ac:dyDescent="0.25">
      <c r="A14" s="6"/>
      <c r="B14" t="str">
        <f t="shared" si="0"/>
        <v/>
      </c>
    </row>
    <row r="15" spans="1:3" x14ac:dyDescent="0.25">
      <c r="A15" s="7">
        <f>91-8888888888</f>
        <v>-8888888797</v>
      </c>
      <c r="B15" t="str">
        <f t="shared" si="0"/>
        <v>8888888797</v>
      </c>
      <c r="C15" t="str">
        <f t="shared" ref="C15:C20" si="4">"91-"&amp;B15</f>
        <v>91-8888888797</v>
      </c>
    </row>
    <row r="16" spans="1:3" x14ac:dyDescent="0.25">
      <c r="A16" s="6">
        <f>91-1234567890</f>
        <v>-1234567799</v>
      </c>
      <c r="B16" t="str">
        <f t="shared" si="0"/>
        <v>1234567799</v>
      </c>
      <c r="C16" t="str">
        <f t="shared" si="4"/>
        <v>91-1234567799</v>
      </c>
    </row>
    <row r="17" spans="1:3" x14ac:dyDescent="0.25">
      <c r="A17" s="7">
        <f>91-8765432109</f>
        <v>-8765432018</v>
      </c>
      <c r="B17" t="str">
        <f t="shared" si="0"/>
        <v>8765432018</v>
      </c>
      <c r="C17" t="str">
        <f t="shared" si="4"/>
        <v>91-8765432018</v>
      </c>
    </row>
    <row r="18" spans="1:3" x14ac:dyDescent="0.25">
      <c r="A18" s="6">
        <f>91-9876543210</f>
        <v>-9876543119</v>
      </c>
      <c r="B18" t="str">
        <f t="shared" si="0"/>
        <v>9876543119</v>
      </c>
      <c r="C18" t="str">
        <f t="shared" si="4"/>
        <v>91-9876543119</v>
      </c>
    </row>
    <row r="19" spans="1:3" x14ac:dyDescent="0.25">
      <c r="A19" s="7">
        <f>91-5555555555</f>
        <v>-5555555464</v>
      </c>
      <c r="B19" t="str">
        <f t="shared" si="0"/>
        <v>5555555464</v>
      </c>
      <c r="C19" t="str">
        <f t="shared" si="4"/>
        <v>91-5555555464</v>
      </c>
    </row>
    <row r="20" spans="1:3" x14ac:dyDescent="0.25">
      <c r="A20" s="6">
        <f>91-9999999999</f>
        <v>-9999999908</v>
      </c>
      <c r="B20" t="str">
        <f t="shared" si="0"/>
        <v>9999999908</v>
      </c>
      <c r="C20" t="str">
        <f t="shared" si="4"/>
        <v>91-9999999908</v>
      </c>
    </row>
    <row r="21" spans="1:3" x14ac:dyDescent="0.25">
      <c r="A21" s="7"/>
      <c r="B21" t="str">
        <f t="shared" si="0"/>
        <v/>
      </c>
    </row>
    <row r="22" spans="1:3" x14ac:dyDescent="0.25">
      <c r="A22" s="6">
        <f>91-8888888888</f>
        <v>-8888888797</v>
      </c>
      <c r="B22" t="str">
        <f t="shared" si="0"/>
        <v>8888888797</v>
      </c>
      <c r="C22" t="str">
        <f t="shared" ref="C22:C24" si="5">"91-"&amp;B22</f>
        <v>91-8888888797</v>
      </c>
    </row>
    <row r="23" spans="1:3" x14ac:dyDescent="0.25">
      <c r="A23" s="7" t="s">
        <v>80</v>
      </c>
      <c r="B23" t="str">
        <f t="shared" si="0"/>
        <v>6666666666</v>
      </c>
      <c r="C23" t="str">
        <f t="shared" si="5"/>
        <v>91-6666666666</v>
      </c>
    </row>
    <row r="24" spans="1:3" x14ac:dyDescent="0.25">
      <c r="A24" s="6">
        <f>91-5555555555</f>
        <v>-5555555464</v>
      </c>
      <c r="B24" t="str">
        <f t="shared" si="0"/>
        <v>5555555464</v>
      </c>
      <c r="C24" t="str">
        <f t="shared" si="5"/>
        <v>91-5555555464</v>
      </c>
    </row>
    <row r="25" spans="1:3" x14ac:dyDescent="0.25">
      <c r="A25" s="7"/>
      <c r="B25" t="str">
        <f t="shared" si="0"/>
        <v/>
      </c>
    </row>
    <row r="26" spans="1:3" x14ac:dyDescent="0.25">
      <c r="A26" s="6">
        <f>91-7777777777</f>
        <v>-7777777686</v>
      </c>
      <c r="B26" t="str">
        <f t="shared" si="0"/>
        <v>7777777686</v>
      </c>
      <c r="C26" t="str">
        <f t="shared" ref="C26:C28" si="6">"91-"&amp;B26</f>
        <v>91-7777777686</v>
      </c>
    </row>
    <row r="27" spans="1:3" x14ac:dyDescent="0.25">
      <c r="A27" s="7">
        <f>91-8888888888</f>
        <v>-8888888797</v>
      </c>
      <c r="B27" t="str">
        <f t="shared" si="0"/>
        <v>8888888797</v>
      </c>
      <c r="C27" t="str">
        <f t="shared" si="6"/>
        <v>91-8888888797</v>
      </c>
    </row>
    <row r="28" spans="1:3" x14ac:dyDescent="0.25">
      <c r="A28" s="6">
        <f>91-7777777777</f>
        <v>-7777777686</v>
      </c>
      <c r="B28" t="str">
        <f t="shared" si="0"/>
        <v>7777777686</v>
      </c>
      <c r="C28" t="str">
        <f t="shared" si="6"/>
        <v>91-7777777686</v>
      </c>
    </row>
    <row r="29" spans="1:3" x14ac:dyDescent="0.25">
      <c r="A29" s="7"/>
      <c r="B29" t="str">
        <f t="shared" si="0"/>
        <v/>
      </c>
    </row>
    <row r="30" spans="1:3" x14ac:dyDescent="0.25">
      <c r="A30" s="6">
        <f>91-5555555555</f>
        <v>-5555555464</v>
      </c>
      <c r="B30" t="str">
        <f t="shared" si="0"/>
        <v>5555555464</v>
      </c>
      <c r="C30" t="str">
        <f>"91-"&amp;B30</f>
        <v>91-5555555464</v>
      </c>
    </row>
    <row r="31" spans="1:3" x14ac:dyDescent="0.25">
      <c r="A31" s="7"/>
      <c r="B31" t="str">
        <f t="shared" si="0"/>
        <v/>
      </c>
    </row>
    <row r="32" spans="1:3" x14ac:dyDescent="0.25">
      <c r="A32" s="6">
        <f>91-6666666666</f>
        <v>-6666666575</v>
      </c>
      <c r="B32" t="str">
        <f t="shared" si="0"/>
        <v>6666666575</v>
      </c>
      <c r="C32" t="str">
        <f>"91-"&amp;B32</f>
        <v>91-6666666575</v>
      </c>
    </row>
    <row r="33" spans="1:3" x14ac:dyDescent="0.25">
      <c r="A33" s="7"/>
      <c r="B33" t="str">
        <f t="shared" si="0"/>
        <v/>
      </c>
    </row>
    <row r="34" spans="1:3" x14ac:dyDescent="0.25">
      <c r="A34" s="6">
        <f>91-5555555555</f>
        <v>-5555555464</v>
      </c>
      <c r="B34" t="str">
        <f t="shared" si="0"/>
        <v>5555555464</v>
      </c>
      <c r="C34" t="str">
        <f t="shared" ref="C34:C35" si="7">"91-"&amp;B34</f>
        <v>91-5555555464</v>
      </c>
    </row>
    <row r="35" spans="1:3" x14ac:dyDescent="0.25">
      <c r="A35" s="7">
        <f>91-7777777777</f>
        <v>-7777777686</v>
      </c>
      <c r="B35" t="str">
        <f t="shared" si="0"/>
        <v>7777777686</v>
      </c>
      <c r="C35" t="str">
        <f t="shared" si="7"/>
        <v>91-7777777686</v>
      </c>
    </row>
    <row r="36" spans="1:3" x14ac:dyDescent="0.25">
      <c r="A36" s="6"/>
      <c r="B36" t="str">
        <f t="shared" si="0"/>
        <v/>
      </c>
    </row>
    <row r="37" spans="1:3" x14ac:dyDescent="0.25">
      <c r="A37" s="7">
        <f>91-8888888888</f>
        <v>-8888888797</v>
      </c>
      <c r="B37" t="str">
        <f t="shared" si="0"/>
        <v>8888888797</v>
      </c>
      <c r="C37" t="str">
        <f t="shared" ref="C37:C38" si="8">"91-"&amp;B37</f>
        <v>91-8888888797</v>
      </c>
    </row>
    <row r="38" spans="1:3" x14ac:dyDescent="0.25">
      <c r="A38" s="6">
        <f>91-9999999999</f>
        <v>-9999999908</v>
      </c>
      <c r="B38" t="str">
        <f t="shared" si="0"/>
        <v>9999999908</v>
      </c>
      <c r="C38" t="str">
        <f t="shared" si="8"/>
        <v>91-9999999908</v>
      </c>
    </row>
    <row r="39" spans="1:3" x14ac:dyDescent="0.25">
      <c r="A39" s="7"/>
      <c r="B39" t="str">
        <f t="shared" si="0"/>
        <v/>
      </c>
    </row>
    <row r="40" spans="1:3" x14ac:dyDescent="0.25">
      <c r="A40" s="6">
        <f>91-7777777777</f>
        <v>-7777777686</v>
      </c>
      <c r="B40" t="str">
        <f t="shared" si="0"/>
        <v>7777777686</v>
      </c>
      <c r="C40" t="str">
        <f>"91-"&amp;B40</f>
        <v>91-7777777686</v>
      </c>
    </row>
    <row r="41" spans="1:3" x14ac:dyDescent="0.25">
      <c r="A41" s="7"/>
      <c r="B41" t="str">
        <f t="shared" si="0"/>
        <v/>
      </c>
    </row>
    <row r="42" spans="1:3" x14ac:dyDescent="0.25">
      <c r="A42" s="6">
        <f>91-5555555555</f>
        <v>-5555555464</v>
      </c>
      <c r="B42" t="str">
        <f t="shared" si="0"/>
        <v>5555555464</v>
      </c>
      <c r="C42" t="str">
        <f>"91-"&amp;B42</f>
        <v>91-5555555464</v>
      </c>
    </row>
    <row r="43" spans="1:3" x14ac:dyDescent="0.25">
      <c r="A43" s="7"/>
      <c r="B43" t="str">
        <f t="shared" si="0"/>
        <v/>
      </c>
    </row>
    <row r="44" spans="1:3" x14ac:dyDescent="0.25">
      <c r="A44" s="6">
        <f>91-8888888888</f>
        <v>-8888888797</v>
      </c>
      <c r="B44" t="str">
        <f t="shared" si="0"/>
        <v>8888888797</v>
      </c>
      <c r="C44" t="str">
        <f t="shared" ref="C44:C45" si="9">"91-"&amp;B44</f>
        <v>91-8888888797</v>
      </c>
    </row>
    <row r="45" spans="1:3" x14ac:dyDescent="0.25">
      <c r="A45" s="7">
        <f>91-7777777777</f>
        <v>-7777777686</v>
      </c>
      <c r="B45" t="str">
        <f t="shared" si="0"/>
        <v>7777777686</v>
      </c>
      <c r="C45" t="str">
        <f t="shared" si="9"/>
        <v>91-7777777686</v>
      </c>
    </row>
    <row r="46" spans="1:3" x14ac:dyDescent="0.25">
      <c r="A46" s="6"/>
      <c r="B46" t="str">
        <f t="shared" si="0"/>
        <v/>
      </c>
    </row>
    <row r="47" spans="1:3" x14ac:dyDescent="0.25">
      <c r="A47" s="7">
        <f>91-6666666666</f>
        <v>-6666666575</v>
      </c>
      <c r="B47" t="str">
        <f t="shared" si="0"/>
        <v>6666666575</v>
      </c>
      <c r="C47" t="str">
        <f t="shared" ref="C47:C48" si="10">"91-"&amp;B47</f>
        <v>91-6666666575</v>
      </c>
    </row>
    <row r="48" spans="1:3" x14ac:dyDescent="0.25">
      <c r="A48" s="6">
        <f>91-5555555555</f>
        <v>-5555555464</v>
      </c>
      <c r="B48" t="str">
        <f t="shared" si="0"/>
        <v>5555555464</v>
      </c>
      <c r="C48" t="str">
        <f t="shared" si="10"/>
        <v>91-5555555464</v>
      </c>
    </row>
    <row r="49" spans="1:2" x14ac:dyDescent="0.25">
      <c r="A49" s="7"/>
      <c r="B49" t="str">
        <f t="shared" si="0"/>
        <v/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"/>
  <sheetViews>
    <sheetView workbookViewId="0">
      <selection activeCell="E5" sqref="E5"/>
    </sheetView>
  </sheetViews>
  <sheetFormatPr defaultRowHeight="15" x14ac:dyDescent="0.25"/>
  <cols>
    <col min="1" max="1" width="14.140625" bestFit="1" customWidth="1"/>
    <col min="4" max="4" width="10.85546875" bestFit="1" customWidth="1"/>
  </cols>
  <sheetData>
    <row r="1" spans="1:5" ht="17.25" thickBot="1" x14ac:dyDescent="0.35">
      <c r="A1" s="1" t="s">
        <v>0</v>
      </c>
      <c r="B1" s="1" t="s">
        <v>1</v>
      </c>
    </row>
    <row r="2" spans="1:5" x14ac:dyDescent="0.25">
      <c r="A2" s="2" t="s">
        <v>8</v>
      </c>
      <c r="B2" s="2">
        <v>32</v>
      </c>
    </row>
    <row r="3" spans="1:5" x14ac:dyDescent="0.25">
      <c r="A3" s="3" t="s">
        <v>14</v>
      </c>
      <c r="B3" s="3">
        <v>28</v>
      </c>
    </row>
    <row r="4" spans="1:5" x14ac:dyDescent="0.25">
      <c r="A4" s="2" t="s">
        <v>20</v>
      </c>
      <c r="B4" s="2">
        <v>27</v>
      </c>
    </row>
    <row r="5" spans="1:5" x14ac:dyDescent="0.25">
      <c r="A5" s="3" t="s">
        <v>25</v>
      </c>
      <c r="B5" s="3">
        <v>33</v>
      </c>
      <c r="D5" s="4" t="s">
        <v>153</v>
      </c>
      <c r="E5">
        <f>AVERAGE(B2:B49)</f>
        <v>29.63636363636364</v>
      </c>
    </row>
    <row r="6" spans="1:5" x14ac:dyDescent="0.25">
      <c r="A6" s="2"/>
      <c r="B6" s="2">
        <v>29</v>
      </c>
    </row>
    <row r="7" spans="1:5" x14ac:dyDescent="0.25">
      <c r="A7" s="3" t="s">
        <v>31</v>
      </c>
      <c r="B7" s="3">
        <v>34</v>
      </c>
    </row>
    <row r="8" spans="1:5" x14ac:dyDescent="0.25">
      <c r="A8" s="2" t="s">
        <v>35</v>
      </c>
      <c r="B8" s="2">
        <v>25</v>
      </c>
    </row>
    <row r="9" spans="1:5" x14ac:dyDescent="0.25">
      <c r="A9" s="3" t="s">
        <v>38</v>
      </c>
      <c r="B9" s="3">
        <v>31</v>
      </c>
    </row>
    <row r="10" spans="1:5" x14ac:dyDescent="0.25">
      <c r="A10" s="2" t="s">
        <v>40</v>
      </c>
      <c r="B10" s="2">
        <v>27</v>
      </c>
    </row>
    <row r="11" spans="1:5" x14ac:dyDescent="0.25">
      <c r="A11" s="3"/>
      <c r="B11" s="3">
        <v>35</v>
      </c>
    </row>
    <row r="12" spans="1:5" x14ac:dyDescent="0.25">
      <c r="A12" s="2" t="s">
        <v>45</v>
      </c>
      <c r="B12" s="2">
        <v>29.636363636363637</v>
      </c>
    </row>
    <row r="13" spans="1:5" x14ac:dyDescent="0.25">
      <c r="A13" s="3" t="s">
        <v>48</v>
      </c>
      <c r="B13" s="3">
        <v>29</v>
      </c>
    </row>
    <row r="14" spans="1:5" x14ac:dyDescent="0.25">
      <c r="A14" s="2" t="s">
        <v>52</v>
      </c>
      <c r="B14" s="2">
        <v>28</v>
      </c>
    </row>
    <row r="15" spans="1:5" x14ac:dyDescent="0.25">
      <c r="A15" s="3"/>
      <c r="B15" s="3">
        <v>30</v>
      </c>
    </row>
    <row r="16" spans="1:5" x14ac:dyDescent="0.25">
      <c r="A16" s="2" t="s">
        <v>58</v>
      </c>
      <c r="B16" s="2">
        <v>32</v>
      </c>
    </row>
    <row r="17" spans="1:2" x14ac:dyDescent="0.25">
      <c r="A17" s="3" t="s">
        <v>62</v>
      </c>
      <c r="B17" s="3">
        <v>26</v>
      </c>
    </row>
    <row r="18" spans="1:2" x14ac:dyDescent="0.25">
      <c r="A18" s="2" t="s">
        <v>65</v>
      </c>
      <c r="B18" s="2">
        <v>28</v>
      </c>
    </row>
    <row r="19" spans="1:2" x14ac:dyDescent="0.25">
      <c r="A19" s="3" t="s">
        <v>68</v>
      </c>
      <c r="B19" s="3">
        <v>30</v>
      </c>
    </row>
    <row r="20" spans="1:2" x14ac:dyDescent="0.25">
      <c r="A20" s="2"/>
      <c r="B20" s="2">
        <v>32</v>
      </c>
    </row>
    <row r="21" spans="1:2" x14ac:dyDescent="0.25">
      <c r="A21" s="3" t="s">
        <v>72</v>
      </c>
      <c r="B21" s="3">
        <v>26</v>
      </c>
    </row>
    <row r="22" spans="1:2" x14ac:dyDescent="0.25">
      <c r="A22" s="2" t="s">
        <v>75</v>
      </c>
      <c r="B22" s="2">
        <v>33</v>
      </c>
    </row>
    <row r="23" spans="1:2" x14ac:dyDescent="0.25">
      <c r="A23" s="3" t="s">
        <v>78</v>
      </c>
      <c r="B23" s="3">
        <v>29</v>
      </c>
    </row>
    <row r="24" spans="1:2" x14ac:dyDescent="0.25">
      <c r="A24" s="2" t="s">
        <v>81</v>
      </c>
      <c r="B24" s="2">
        <v>29.636363636363637</v>
      </c>
    </row>
    <row r="25" spans="1:2" x14ac:dyDescent="0.25">
      <c r="A25" s="3" t="s">
        <v>84</v>
      </c>
      <c r="B25" s="3">
        <v>31</v>
      </c>
    </row>
    <row r="26" spans="1:2" x14ac:dyDescent="0.25">
      <c r="A26" s="2" t="s">
        <v>87</v>
      </c>
      <c r="B26" s="2">
        <v>28</v>
      </c>
    </row>
    <row r="27" spans="1:2" x14ac:dyDescent="0.25">
      <c r="A27" s="3" t="s">
        <v>90</v>
      </c>
      <c r="B27" s="3">
        <v>34</v>
      </c>
    </row>
    <row r="28" spans="1:2" x14ac:dyDescent="0.25">
      <c r="A28" s="2" t="s">
        <v>93</v>
      </c>
      <c r="B28" s="2">
        <v>26</v>
      </c>
    </row>
    <row r="29" spans="1:2" x14ac:dyDescent="0.25">
      <c r="A29" s="3"/>
      <c r="B29" s="3">
        <v>29</v>
      </c>
    </row>
    <row r="30" spans="1:2" x14ac:dyDescent="0.25">
      <c r="A30" s="2" t="s">
        <v>40</v>
      </c>
      <c r="B30" s="2">
        <v>27</v>
      </c>
    </row>
    <row r="31" spans="1:2" x14ac:dyDescent="0.25">
      <c r="A31" s="3" t="s">
        <v>99</v>
      </c>
      <c r="B31" s="3">
        <v>32</v>
      </c>
    </row>
    <row r="32" spans="1:2" x14ac:dyDescent="0.25">
      <c r="A32" s="2"/>
      <c r="B32" s="2">
        <v>33</v>
      </c>
    </row>
    <row r="33" spans="1:2" x14ac:dyDescent="0.25">
      <c r="A33" s="3" t="s">
        <v>104</v>
      </c>
      <c r="B33" s="3">
        <v>30</v>
      </c>
    </row>
    <row r="34" spans="1:2" x14ac:dyDescent="0.25">
      <c r="A34" s="2" t="s">
        <v>107</v>
      </c>
      <c r="B34" s="2">
        <v>29.636363636363637</v>
      </c>
    </row>
    <row r="35" spans="1:2" x14ac:dyDescent="0.25">
      <c r="A35" s="3" t="s">
        <v>110</v>
      </c>
      <c r="B35" s="3">
        <v>29</v>
      </c>
    </row>
    <row r="36" spans="1:2" x14ac:dyDescent="0.25">
      <c r="A36" s="2"/>
      <c r="B36" s="2">
        <v>31</v>
      </c>
    </row>
    <row r="37" spans="1:2" x14ac:dyDescent="0.25">
      <c r="A37" s="3" t="s">
        <v>115</v>
      </c>
      <c r="B37" s="3">
        <v>28</v>
      </c>
    </row>
    <row r="38" spans="1:2" x14ac:dyDescent="0.25">
      <c r="A38" s="2" t="s">
        <v>119</v>
      </c>
      <c r="B38" s="2">
        <v>33</v>
      </c>
    </row>
    <row r="39" spans="1:2" x14ac:dyDescent="0.25">
      <c r="A39" s="3" t="s">
        <v>123</v>
      </c>
      <c r="B39" s="3">
        <v>30</v>
      </c>
    </row>
    <row r="40" spans="1:2" x14ac:dyDescent="0.25">
      <c r="A40" s="2" t="s">
        <v>126</v>
      </c>
      <c r="B40" s="2">
        <v>27</v>
      </c>
    </row>
    <row r="41" spans="1:2" x14ac:dyDescent="0.25">
      <c r="A41" s="3" t="s">
        <v>129</v>
      </c>
      <c r="B41" s="3">
        <v>29</v>
      </c>
    </row>
    <row r="42" spans="1:2" x14ac:dyDescent="0.25">
      <c r="A42" s="2" t="s">
        <v>132</v>
      </c>
      <c r="B42" s="2">
        <v>26</v>
      </c>
    </row>
    <row r="43" spans="1:2" x14ac:dyDescent="0.25">
      <c r="A43" s="3"/>
      <c r="B43" s="3">
        <v>28</v>
      </c>
    </row>
    <row r="44" spans="1:2" x14ac:dyDescent="0.25">
      <c r="A44" s="2" t="s">
        <v>137</v>
      </c>
      <c r="B44" s="2">
        <v>31</v>
      </c>
    </row>
    <row r="45" spans="1:2" x14ac:dyDescent="0.25">
      <c r="A45" s="3" t="s">
        <v>139</v>
      </c>
      <c r="B45" s="3">
        <v>27</v>
      </c>
    </row>
    <row r="46" spans="1:2" x14ac:dyDescent="0.25">
      <c r="A46" s="2"/>
      <c r="B46" s="2">
        <v>29</v>
      </c>
    </row>
    <row r="47" spans="1:2" x14ac:dyDescent="0.25">
      <c r="A47" s="3" t="s">
        <v>144</v>
      </c>
      <c r="B47" s="3">
        <v>32</v>
      </c>
    </row>
    <row r="48" spans="1:2" x14ac:dyDescent="0.25">
      <c r="A48" s="2" t="s">
        <v>147</v>
      </c>
      <c r="B48" s="2">
        <v>29.636363636363637</v>
      </c>
    </row>
    <row r="49" spans="1:2" x14ac:dyDescent="0.25">
      <c r="A49" s="3" t="s">
        <v>150</v>
      </c>
      <c r="B49" s="3">
        <v>30</v>
      </c>
    </row>
  </sheetData>
  <autoFilter ref="A1:B4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workbookViewId="0">
      <selection activeCell="A6" sqref="A6"/>
    </sheetView>
  </sheetViews>
  <sheetFormatPr defaultRowHeight="15" x14ac:dyDescent="0.25"/>
  <cols>
    <col min="1" max="1" width="15.140625" bestFit="1" customWidth="1"/>
    <col min="2" max="2" width="27.140625" bestFit="1" customWidth="1"/>
  </cols>
  <sheetData>
    <row r="1" spans="1:2" ht="17.25" thickBot="1" x14ac:dyDescent="0.35">
      <c r="A1" s="1" t="s">
        <v>0</v>
      </c>
      <c r="B1" s="1" t="s">
        <v>4</v>
      </c>
    </row>
    <row r="2" spans="1:2" x14ac:dyDescent="0.25">
      <c r="A2" s="2" t="str">
        <f>LEFT(B2,FIND("@",B2,1)-1)</f>
        <v>jane.doe</v>
      </c>
      <c r="B2" s="2" t="s">
        <v>30</v>
      </c>
    </row>
    <row r="3" spans="1:2" x14ac:dyDescent="0.25">
      <c r="A3" s="2" t="str">
        <f t="shared" ref="A3:A10" si="0">LEFT(B3,FIND("@",B3,1)-1)</f>
        <v>naveen.sharma</v>
      </c>
      <c r="B3" s="3" t="s">
        <v>43</v>
      </c>
    </row>
    <row r="4" spans="1:2" x14ac:dyDescent="0.25">
      <c r="A4" s="2" t="str">
        <f t="shared" si="0"/>
        <v>kavita.sharma</v>
      </c>
      <c r="B4" s="2" t="s">
        <v>57</v>
      </c>
    </row>
    <row r="5" spans="1:2" x14ac:dyDescent="0.25">
      <c r="A5" s="2" t="str">
        <f t="shared" si="0"/>
        <v>vikas.joshi</v>
      </c>
      <c r="B5" s="3" t="s">
        <v>71</v>
      </c>
    </row>
    <row r="6" spans="1:2" x14ac:dyDescent="0.25">
      <c r="A6" s="2" t="str">
        <f t="shared" si="0"/>
        <v>ankit.singh</v>
      </c>
      <c r="B6" s="2" t="s">
        <v>96</v>
      </c>
    </row>
    <row r="7" spans="1:2" x14ac:dyDescent="0.25">
      <c r="A7" s="2" t="str">
        <f t="shared" si="0"/>
        <v>sarika.patel</v>
      </c>
      <c r="B7" s="3" t="s">
        <v>102</v>
      </c>
    </row>
    <row r="8" spans="1:2" x14ac:dyDescent="0.25">
      <c r="A8" s="2" t="str">
        <f t="shared" si="0"/>
        <v>payal.sharma</v>
      </c>
      <c r="B8" s="2" t="s">
        <v>113</v>
      </c>
    </row>
    <row r="9" spans="1:2" x14ac:dyDescent="0.25">
      <c r="A9" s="2" t="str">
        <f t="shared" si="0"/>
        <v>mukesh.sharma</v>
      </c>
      <c r="B9" s="3" t="s">
        <v>135</v>
      </c>
    </row>
    <row r="10" spans="1:2" x14ac:dyDescent="0.25">
      <c r="A10" s="2" t="str">
        <f t="shared" si="0"/>
        <v>gaurav.kumar</v>
      </c>
      <c r="B10" s="2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Final Worksheet</vt:lpstr>
      <vt:lpstr>QUESTION7</vt:lpstr>
      <vt:lpstr>QUESTION3</vt:lpstr>
      <vt:lpstr>QUESTION2</vt:lpstr>
      <vt:lpstr>QUESTION1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Shree</cp:lastModifiedBy>
  <dcterms:created xsi:type="dcterms:W3CDTF">2023-04-26T07:21:03Z</dcterms:created>
  <dcterms:modified xsi:type="dcterms:W3CDTF">2024-10-06T14:05:30Z</dcterms:modified>
</cp:coreProperties>
</file>